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min.karic/Downloads/"/>
    </mc:Choice>
  </mc:AlternateContent>
  <xr:revisionPtr revIDLastSave="0" documentId="8_{45D3DE83-F567-3B4C-9188-8EAFF1B1BCD4}" xr6:coauthVersionLast="47" xr6:coauthVersionMax="47" xr10:uidLastSave="{00000000-0000-0000-0000-000000000000}"/>
  <bookViews>
    <workbookView xWindow="4060" yWindow="3260" windowWidth="27240" windowHeight="16180" xr2:uid="{FC6F4784-D508-DE4B-B658-2235B6369FB7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0" i="1" l="1"/>
  <c r="J100" i="1"/>
  <c r="H100" i="1"/>
  <c r="G100" i="1"/>
  <c r="F100" i="1"/>
  <c r="E100" i="1"/>
  <c r="L98" i="1"/>
  <c r="K98" i="1"/>
  <c r="J98" i="1"/>
  <c r="I98" i="1"/>
  <c r="H98" i="1"/>
  <c r="G98" i="1"/>
  <c r="F98" i="1"/>
  <c r="E98" i="1"/>
  <c r="D98" i="1"/>
  <c r="C98" i="1"/>
  <c r="L47" i="1"/>
  <c r="L100" i="1" s="1"/>
  <c r="K47" i="1"/>
  <c r="J47" i="1"/>
  <c r="I47" i="1"/>
  <c r="H47" i="1"/>
  <c r="G47" i="1"/>
  <c r="F47" i="1"/>
  <c r="E47" i="1"/>
  <c r="D47" i="1"/>
  <c r="C47" i="1"/>
  <c r="K10" i="1"/>
  <c r="I10" i="1" a="1"/>
  <c r="I10" i="1" s="1"/>
  <c r="I100" i="1" s="1"/>
  <c r="G10" i="1"/>
  <c r="F10" i="1"/>
  <c r="E10" i="1"/>
  <c r="D10" i="1"/>
  <c r="D100" i="1" s="1"/>
  <c r="C10" i="1"/>
  <c r="C10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<sst xmlns="http://schemas.openxmlformats.org/spreadsheetml/2006/main" count="92" uniqueCount="25">
  <si>
    <t>ŠIFRA ARTIKLA</t>
  </si>
  <si>
    <t>01030073</t>
  </si>
  <si>
    <t>01030063</t>
  </si>
  <si>
    <t>01030074</t>
  </si>
  <si>
    <t>01030075</t>
  </si>
  <si>
    <t>01110045</t>
  </si>
  <si>
    <t>01044076</t>
  </si>
  <si>
    <t>01044077</t>
  </si>
  <si>
    <t>Datum</t>
  </si>
  <si>
    <t>Broj recepture</t>
  </si>
  <si>
    <t>Riječni agregat 0-4 GEOKOP</t>
  </si>
  <si>
    <t>Kameni drobljeni agregat 0-4</t>
  </si>
  <si>
    <t>Riječni agregat 4-8 GEOKOP2</t>
  </si>
  <si>
    <t>Riječni agregat 8-16 GEOKOP</t>
  </si>
  <si>
    <t>Cement     42,5 N</t>
  </si>
  <si>
    <t>Cement     52,5 N (FILER</t>
  </si>
  <si>
    <t>SIKA V</t>
  </si>
  <si>
    <t>Aditiv FM 500(ŠUPLJE)</t>
  </si>
  <si>
    <t>Voda 1</t>
  </si>
  <si>
    <t>Količina proizvedenog betona</t>
  </si>
  <si>
    <t>MB 50</t>
  </si>
  <si>
    <t>MB 60</t>
  </si>
  <si>
    <t>MB 40</t>
  </si>
  <si>
    <t>MB 60 ŠP</t>
  </si>
  <si>
    <t>Ukupno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</si>
</sst>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8"/>
      <color theme="1" tint="4.9989318521683403E-2"/>
      <name val="Tahoma"/>
      <family val="2"/>
      <charset val="238"/>
    </font>
    <font>
      <sz val="8"/>
      <name val="Tahoma"/>
      <family val="2"/>
      <charset val="238"/>
    </font>
    <font>
      <sz val="8"/>
      <name val="Tahoma"/>
      <family val="2"/>
      <charset val="162"/>
    </font>
    <font>
      <b/>
      <sz val="8"/>
      <name val="Tahoma"/>
      <family val="2"/>
      <charset val="238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0" fontId="0" fillId="3" borderId="4" xfId="0" applyFill="1" applyBorder="1"/>
    <xf numFmtId="49" fontId="3" fillId="2" borderId="3" xfId="0" applyNumberFormat="1" applyFont="1" applyFill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center" wrapText="1"/>
    </xf>
    <xf numFmtId="4" fontId="4" fillId="4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wrapText="1"/>
    </xf>
    <xf numFmtId="4" fontId="5" fillId="4" borderId="5" xfId="0" applyNumberFormat="1" applyFont="1" applyFill="1" applyBorder="1" applyAlignment="1">
      <alignment horizontal="center"/>
    </xf>
    <xf numFmtId="4" fontId="5" fillId="0" borderId="5" xfId="0" applyNumberFormat="1" applyFont="1" applyBorder="1" applyAlignment="1">
      <alignment horizontal="center"/>
    </xf>
    <xf numFmtId="4" fontId="4" fillId="0" borderId="3" xfId="0" applyNumberFormat="1" applyFont="1" applyBorder="1" applyAlignment="1">
      <alignment horizontal="center" wrapText="1"/>
    </xf>
    <xf numFmtId="4" fontId="5" fillId="4" borderId="5" xfId="0" applyNumberFormat="1" applyFont="1" applyFill="1" applyBorder="1" applyAlignment="1">
      <alignment horizontal="center" vertical="center"/>
    </xf>
    <xf numFmtId="4" fontId="5" fillId="0" borderId="5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4" fontId="4" fillId="4" borderId="5" xfId="0" applyNumberFormat="1" applyFont="1" applyFill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 wrapText="1"/>
    </xf>
    <xf numFmtId="14" fontId="4" fillId="4" borderId="6" xfId="0" applyNumberFormat="1" applyFont="1" applyFill="1" applyBorder="1" applyAlignment="1">
      <alignment horizont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14" fontId="4" fillId="4" borderId="6" xfId="0" applyNumberFormat="1" applyFont="1" applyFill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wrapText="1"/>
    </xf>
    <xf numFmtId="14" fontId="4" fillId="0" borderId="6" xfId="0" applyNumberFormat="1" applyFont="1" applyBorder="1" applyAlignment="1">
      <alignment horizontal="center" vertical="center" wrapText="1"/>
    </xf>
    <xf numFmtId="4" fontId="5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wrapText="1"/>
    </xf>
    <xf numFmtId="2" fontId="4" fillId="0" borderId="3" xfId="0" applyNumberFormat="1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wrapText="1"/>
    </xf>
    <xf numFmtId="14" fontId="6" fillId="0" borderId="3" xfId="0" applyNumberFormat="1" applyFont="1" applyBorder="1" applyAlignment="1">
      <alignment horizontal="right" vertical="center" wrapText="1"/>
    </xf>
    <xf numFmtId="0" fontId="7" fillId="0" borderId="3" xfId="0" applyFont="1" applyBorder="1"/>
    <xf numFmtId="4" fontId="7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zenana.avdic/AppData/Local/Microsoft/Windows/INetCache/Content.Outlook/0XCNLF9L/Decembar%20Normativi.xls" TargetMode="External"/><Relationship Id="rId1" Type="http://schemas.openxmlformats.org/officeDocument/2006/relationships/externalLinkPath" Target="file:///C:/Users/dzenana.avdic/AppData/Local/Microsoft/Windows/INetCache/Content.Outlook/0XCNLF9L/Decembar%20Normativ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canan Malzeme Toplamlari"/>
    </sheetNames>
    <sheetDataSet>
      <sheetData sheetId="0" refreshError="1">
        <row r="21">
          <cell r="C21">
            <v>471.41455160744482</v>
          </cell>
          <cell r="D21">
            <v>550.12859560067659</v>
          </cell>
          <cell r="E21">
            <v>200.46869712351938</v>
          </cell>
          <cell r="F21">
            <v>651.17597292724167</v>
          </cell>
          <cell r="G21">
            <v>420.77326565143807</v>
          </cell>
          <cell r="H21">
            <v>2.9195431472081208</v>
          </cell>
          <cell r="K21">
            <v>182.28934010152278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72E5-0A9A-3E4A-8556-3DCBAE10AF5E}">
  <dimension ref="A1:L100"/>
  <sheetViews>
    <sheetView tabSelected="1" workbookViewId="0">
      <selection activeCell="O14" sqref="O14"/>
    </sheetView>
  </sheetViews>
  <sheetFormatPr baseColWidth="10" defaultRowHeight="16" x14ac:dyDescent="0.2"/>
  <sheetData>
    <row r="1" spans="1:12" x14ac:dyDescent="0.2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5</v>
      </c>
      <c r="I1" s="3" t="s">
        <v>6</v>
      </c>
      <c r="J1" s="4" t="s">
        <v>7</v>
      </c>
      <c r="K1" s="5"/>
      <c r="L1" s="3"/>
    </row>
    <row r="2" spans="1:12" ht="36" x14ac:dyDescent="0.2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</row>
    <row r="3" spans="1:12" x14ac:dyDescent="0.2">
      <c r="A3" s="7">
        <v>46029</v>
      </c>
      <c r="B3" s="8" t="s">
        <v>20</v>
      </c>
      <c r="C3" s="9">
        <v>25249</v>
      </c>
      <c r="D3" s="9">
        <v>34128</v>
      </c>
      <c r="E3" s="9">
        <v>13471</v>
      </c>
      <c r="F3" s="9">
        <v>32620</v>
      </c>
      <c r="G3" s="9">
        <v>21836</v>
      </c>
      <c r="H3" s="9">
        <v>0</v>
      </c>
      <c r="I3" s="9">
        <v>136.1</v>
      </c>
      <c r="J3" s="10">
        <v>0</v>
      </c>
      <c r="K3" s="10">
        <v>11587</v>
      </c>
      <c r="L3" s="10">
        <v>56</v>
      </c>
    </row>
    <row r="4" spans="1:12" x14ac:dyDescent="0.2">
      <c r="A4" s="11">
        <v>46029</v>
      </c>
      <c r="B4" s="8" t="s">
        <v>21</v>
      </c>
      <c r="C4" s="9">
        <v>14565</v>
      </c>
      <c r="D4" s="9">
        <v>17048</v>
      </c>
      <c r="E4" s="9">
        <v>6273</v>
      </c>
      <c r="F4" s="9">
        <v>20153</v>
      </c>
      <c r="G4" s="9">
        <v>13022</v>
      </c>
      <c r="H4" s="9">
        <v>0</v>
      </c>
      <c r="I4" s="9">
        <v>90.300000000000011</v>
      </c>
      <c r="J4" s="10">
        <v>0</v>
      </c>
      <c r="K4" s="10">
        <v>6185</v>
      </c>
      <c r="L4" s="10">
        <v>31</v>
      </c>
    </row>
    <row r="5" spans="1:12" x14ac:dyDescent="0.2">
      <c r="A5" s="11">
        <v>46030</v>
      </c>
      <c r="B5" s="8" t="s">
        <v>22</v>
      </c>
      <c r="C5" s="9">
        <v>4728</v>
      </c>
      <c r="D5" s="9">
        <v>4680</v>
      </c>
      <c r="E5" s="9">
        <v>2391</v>
      </c>
      <c r="F5" s="9">
        <v>5569</v>
      </c>
      <c r="G5" s="9">
        <v>3148</v>
      </c>
      <c r="H5" s="9">
        <v>0</v>
      </c>
      <c r="I5" s="9">
        <v>19.8</v>
      </c>
      <c r="J5" s="10">
        <v>0</v>
      </c>
      <c r="K5" s="10">
        <v>1763</v>
      </c>
      <c r="L5" s="10">
        <v>9</v>
      </c>
    </row>
    <row r="6" spans="1:12" x14ac:dyDescent="0.2">
      <c r="A6" s="11">
        <v>46030</v>
      </c>
      <c r="B6" s="8" t="s">
        <v>20</v>
      </c>
      <c r="C6" s="9">
        <v>27772</v>
      </c>
      <c r="D6" s="9">
        <v>37786</v>
      </c>
      <c r="E6" s="9">
        <v>14935</v>
      </c>
      <c r="F6" s="9">
        <v>36022</v>
      </c>
      <c r="G6" s="9">
        <v>24182</v>
      </c>
      <c r="H6" s="9">
        <v>0</v>
      </c>
      <c r="I6" s="9">
        <v>182.6</v>
      </c>
      <c r="J6" s="10">
        <v>0</v>
      </c>
      <c r="K6" s="10">
        <v>12041</v>
      </c>
      <c r="L6" s="10">
        <v>62</v>
      </c>
    </row>
    <row r="7" spans="1:12" x14ac:dyDescent="0.2">
      <c r="A7" s="11">
        <v>46030</v>
      </c>
      <c r="B7" s="8" t="s">
        <v>21</v>
      </c>
      <c r="C7" s="9">
        <v>11961</v>
      </c>
      <c r="D7" s="9">
        <v>13750</v>
      </c>
      <c r="E7" s="9">
        <v>4987</v>
      </c>
      <c r="F7" s="9">
        <v>16085</v>
      </c>
      <c r="G7" s="9">
        <v>10500</v>
      </c>
      <c r="H7" s="9">
        <v>0</v>
      </c>
      <c r="I7" s="9">
        <v>72.900000000000006</v>
      </c>
      <c r="J7" s="10">
        <v>0</v>
      </c>
      <c r="K7" s="10">
        <v>4566</v>
      </c>
      <c r="L7" s="10">
        <v>25</v>
      </c>
    </row>
    <row r="8" spans="1:12" x14ac:dyDescent="0.2">
      <c r="A8" s="11">
        <v>46031</v>
      </c>
      <c r="B8" s="8" t="s">
        <v>20</v>
      </c>
      <c r="C8" s="12">
        <v>32811</v>
      </c>
      <c r="D8" s="12">
        <v>44808</v>
      </c>
      <c r="E8" s="12">
        <v>17608</v>
      </c>
      <c r="F8" s="12">
        <v>42732</v>
      </c>
      <c r="G8" s="12">
        <v>28699</v>
      </c>
      <c r="H8" s="12">
        <v>0</v>
      </c>
      <c r="I8" s="12">
        <v>185.2</v>
      </c>
      <c r="J8" s="13">
        <v>0</v>
      </c>
      <c r="K8" s="13">
        <v>14384</v>
      </c>
      <c r="L8" s="10">
        <v>73.599999999999994</v>
      </c>
    </row>
    <row r="9" spans="1:12" x14ac:dyDescent="0.2">
      <c r="A9" s="11">
        <v>46031</v>
      </c>
      <c r="B9" s="8" t="s">
        <v>21</v>
      </c>
      <c r="C9" s="9">
        <v>23047</v>
      </c>
      <c r="D9" s="9">
        <v>26911</v>
      </c>
      <c r="E9" s="9">
        <v>9865</v>
      </c>
      <c r="F9" s="9">
        <v>31911</v>
      </c>
      <c r="G9" s="9">
        <v>20587</v>
      </c>
      <c r="H9" s="9">
        <v>0</v>
      </c>
      <c r="I9" s="9">
        <v>142</v>
      </c>
      <c r="J9" s="10">
        <v>0</v>
      </c>
      <c r="K9" s="10">
        <v>9848</v>
      </c>
      <c r="L9" s="10">
        <v>49</v>
      </c>
    </row>
    <row r="10" spans="1:12" x14ac:dyDescent="0.2">
      <c r="A10" s="11">
        <v>46035</v>
      </c>
      <c r="B10" s="8" t="s">
        <v>21</v>
      </c>
      <c r="C10" s="12">
        <f>+L10*'[1]Harcanan Malzeme Toplamlari'!$C$21</f>
        <v>2828.487309644669</v>
      </c>
      <c r="D10" s="12">
        <f>+L10*'[1]Harcanan Malzeme Toplamlari'!$D$21</f>
        <v>3300.7715736040595</v>
      </c>
      <c r="E10" s="12">
        <f>+L10*'[1]Harcanan Malzeme Toplamlari'!$E$21</f>
        <v>1202.8121827411162</v>
      </c>
      <c r="F10" s="12">
        <f>+L10*'[1]Harcanan Malzeme Toplamlari'!$F$21</f>
        <v>3907.05583756345</v>
      </c>
      <c r="G10" s="12">
        <f>+L10*'[1]Harcanan Malzeme Toplamlari'!$G$21</f>
        <v>2524.6395939086283</v>
      </c>
      <c r="H10" s="12">
        <v>0</v>
      </c>
      <c r="I10" s="12" cm="1">
        <f t="array" ref="I10:J10">+'[1]Harcanan Malzeme Toplamlari'!$H$21:$I$21*L10</f>
        <v>17.517258883248726</v>
      </c>
      <c r="J10" s="12" t="e">
        <v>#REF!</v>
      </c>
      <c r="K10" s="12">
        <f>+L10*'[1]Harcanan Malzeme Toplamlari'!$K$21</f>
        <v>1093.7360406091366</v>
      </c>
      <c r="L10" s="9">
        <v>6</v>
      </c>
    </row>
    <row r="11" spans="1:12" x14ac:dyDescent="0.2">
      <c r="A11" s="11">
        <v>46036</v>
      </c>
      <c r="B11" s="8" t="s">
        <v>22</v>
      </c>
      <c r="C11" s="9">
        <v>4514</v>
      </c>
      <c r="D11" s="9">
        <v>4677</v>
      </c>
      <c r="E11" s="9">
        <v>2380</v>
      </c>
      <c r="F11" s="9">
        <v>5528</v>
      </c>
      <c r="G11" s="9">
        <v>3151</v>
      </c>
      <c r="H11" s="9">
        <v>0</v>
      </c>
      <c r="I11" s="9">
        <v>22.6</v>
      </c>
      <c r="J11" s="10">
        <v>0</v>
      </c>
      <c r="K11" s="10">
        <v>1728</v>
      </c>
      <c r="L11" s="10">
        <v>9</v>
      </c>
    </row>
    <row r="12" spans="1:12" x14ac:dyDescent="0.2">
      <c r="A12" s="11">
        <v>46036</v>
      </c>
      <c r="B12" s="8" t="s">
        <v>20</v>
      </c>
      <c r="C12" s="9">
        <v>27216</v>
      </c>
      <c r="D12" s="9">
        <v>36778</v>
      </c>
      <c r="E12" s="9">
        <v>14493</v>
      </c>
      <c r="F12" s="9">
        <v>34978</v>
      </c>
      <c r="G12" s="9">
        <v>23514</v>
      </c>
      <c r="H12" s="9">
        <v>0</v>
      </c>
      <c r="I12" s="9">
        <v>174.85</v>
      </c>
      <c r="J12" s="10">
        <v>0</v>
      </c>
      <c r="K12" s="10">
        <v>11902</v>
      </c>
      <c r="L12" s="10">
        <v>60.3</v>
      </c>
    </row>
    <row r="13" spans="1:12" x14ac:dyDescent="0.2">
      <c r="A13" s="11">
        <v>46036</v>
      </c>
      <c r="B13" s="8" t="s">
        <v>21</v>
      </c>
      <c r="C13" s="8">
        <v>20772</v>
      </c>
      <c r="D13" s="8">
        <v>24138</v>
      </c>
      <c r="E13" s="8">
        <v>8824</v>
      </c>
      <c r="F13" s="8">
        <v>28685</v>
      </c>
      <c r="G13" s="8">
        <v>18487</v>
      </c>
      <c r="H13" s="8">
        <v>0</v>
      </c>
      <c r="I13" s="9">
        <v>133.20000000000002</v>
      </c>
      <c r="J13" s="14">
        <v>0</v>
      </c>
      <c r="K13" s="14">
        <v>8511</v>
      </c>
      <c r="L13" s="10">
        <v>44</v>
      </c>
    </row>
    <row r="14" spans="1:12" x14ac:dyDescent="0.2">
      <c r="A14" s="11">
        <v>46037</v>
      </c>
      <c r="B14" s="8" t="s">
        <v>22</v>
      </c>
      <c r="C14" s="8">
        <v>3972</v>
      </c>
      <c r="D14" s="8">
        <v>4159</v>
      </c>
      <c r="E14" s="8">
        <v>2149</v>
      </c>
      <c r="F14" s="8">
        <v>4944</v>
      </c>
      <c r="G14" s="8">
        <v>2797</v>
      </c>
      <c r="H14" s="8">
        <v>0</v>
      </c>
      <c r="I14" s="9">
        <v>14.4</v>
      </c>
      <c r="J14" s="14">
        <v>0</v>
      </c>
      <c r="K14" s="14">
        <v>1180</v>
      </c>
      <c r="L14" s="10">
        <v>8</v>
      </c>
    </row>
    <row r="15" spans="1:12" x14ac:dyDescent="0.2">
      <c r="A15" s="11">
        <v>46037</v>
      </c>
      <c r="B15" s="8" t="s">
        <v>20</v>
      </c>
      <c r="C15" s="9">
        <v>24236</v>
      </c>
      <c r="D15" s="9">
        <v>32936</v>
      </c>
      <c r="E15" s="9">
        <v>13064</v>
      </c>
      <c r="F15" s="9">
        <v>31234</v>
      </c>
      <c r="G15" s="9">
        <v>21056</v>
      </c>
      <c r="H15" s="9">
        <v>0</v>
      </c>
      <c r="I15" s="9">
        <v>134.44999999999999</v>
      </c>
      <c r="J15" s="10">
        <v>0</v>
      </c>
      <c r="K15" s="10">
        <v>8531</v>
      </c>
      <c r="L15" s="10">
        <v>54</v>
      </c>
    </row>
    <row r="16" spans="1:12" x14ac:dyDescent="0.2">
      <c r="A16" s="11">
        <v>46037</v>
      </c>
      <c r="B16" s="8" t="s">
        <v>21</v>
      </c>
      <c r="C16" s="9">
        <v>23528</v>
      </c>
      <c r="D16" s="9">
        <v>27499</v>
      </c>
      <c r="E16" s="9">
        <v>9992</v>
      </c>
      <c r="F16" s="9">
        <v>32533</v>
      </c>
      <c r="G16" s="9">
        <v>20581</v>
      </c>
      <c r="H16" s="9">
        <v>0</v>
      </c>
      <c r="I16" s="9">
        <v>138</v>
      </c>
      <c r="J16" s="10">
        <v>0</v>
      </c>
      <c r="K16" s="10">
        <v>7983</v>
      </c>
      <c r="L16" s="9">
        <v>49</v>
      </c>
    </row>
    <row r="17" spans="1:12" x14ac:dyDescent="0.2">
      <c r="A17" s="11">
        <v>46038</v>
      </c>
      <c r="B17" s="8" t="s">
        <v>21</v>
      </c>
      <c r="C17" s="9">
        <v>4981</v>
      </c>
      <c r="D17" s="9">
        <v>5775</v>
      </c>
      <c r="E17" s="9">
        <v>2055</v>
      </c>
      <c r="F17" s="9">
        <v>6821</v>
      </c>
      <c r="G17" s="9">
        <v>4410</v>
      </c>
      <c r="H17" s="9">
        <v>0</v>
      </c>
      <c r="I17" s="9">
        <v>23.1</v>
      </c>
      <c r="J17" s="10">
        <v>0</v>
      </c>
      <c r="K17" s="10">
        <v>1336</v>
      </c>
      <c r="L17" s="10">
        <v>10.5</v>
      </c>
    </row>
    <row r="18" spans="1:12" x14ac:dyDescent="0.2">
      <c r="A18" s="7">
        <v>46039</v>
      </c>
      <c r="B18" s="9" t="s">
        <v>22</v>
      </c>
      <c r="C18" s="15">
        <v>3194</v>
      </c>
      <c r="D18" s="15">
        <v>3387</v>
      </c>
      <c r="E18" s="15">
        <v>1744.121338912134</v>
      </c>
      <c r="F18" s="15">
        <v>3962</v>
      </c>
      <c r="G18" s="15">
        <v>2268</v>
      </c>
      <c r="H18" s="15">
        <v>0</v>
      </c>
      <c r="I18" s="15">
        <v>13</v>
      </c>
      <c r="J18" s="16">
        <v>0</v>
      </c>
      <c r="K18" s="16">
        <v>1110</v>
      </c>
      <c r="L18" s="9">
        <v>6.5</v>
      </c>
    </row>
    <row r="19" spans="1:12" x14ac:dyDescent="0.2">
      <c r="A19" s="11">
        <v>46039</v>
      </c>
      <c r="B19" s="8" t="s">
        <v>20</v>
      </c>
      <c r="C19" s="9">
        <v>18855</v>
      </c>
      <c r="D19" s="9">
        <v>25625</v>
      </c>
      <c r="E19" s="9">
        <v>10088</v>
      </c>
      <c r="F19" s="9">
        <v>24436</v>
      </c>
      <c r="G19" s="9">
        <v>16389</v>
      </c>
      <c r="H19" s="9">
        <v>0</v>
      </c>
      <c r="I19" s="9">
        <v>87.35</v>
      </c>
      <c r="J19" s="10">
        <v>0</v>
      </c>
      <c r="K19" s="10">
        <v>8309</v>
      </c>
      <c r="L19" s="10">
        <v>42</v>
      </c>
    </row>
    <row r="20" spans="1:12" x14ac:dyDescent="0.2">
      <c r="A20" s="11">
        <v>46039</v>
      </c>
      <c r="B20" s="8" t="s">
        <v>21</v>
      </c>
      <c r="C20" s="9">
        <v>22557</v>
      </c>
      <c r="D20" s="9">
        <v>26391</v>
      </c>
      <c r="E20" s="9">
        <v>9645</v>
      </c>
      <c r="F20" s="9">
        <v>31063</v>
      </c>
      <c r="G20" s="9">
        <v>20157</v>
      </c>
      <c r="H20" s="9">
        <v>0</v>
      </c>
      <c r="I20" s="9">
        <v>108.25000000000001</v>
      </c>
      <c r="J20" s="10">
        <v>0</v>
      </c>
      <c r="K20" s="10">
        <v>9455</v>
      </c>
      <c r="L20" s="10">
        <v>48</v>
      </c>
    </row>
    <row r="21" spans="1:12" x14ac:dyDescent="0.2">
      <c r="A21" s="11">
        <v>46041</v>
      </c>
      <c r="B21" s="8" t="s">
        <v>20</v>
      </c>
      <c r="C21" s="9">
        <v>27000</v>
      </c>
      <c r="D21" s="9">
        <v>36970</v>
      </c>
      <c r="E21" s="9">
        <v>14631</v>
      </c>
      <c r="F21" s="9">
        <v>35026</v>
      </c>
      <c r="G21" s="9">
        <v>23633</v>
      </c>
      <c r="H21" s="9">
        <v>0</v>
      </c>
      <c r="I21" s="9">
        <v>142.85</v>
      </c>
      <c r="J21" s="10">
        <v>0</v>
      </c>
      <c r="K21" s="10">
        <v>12245</v>
      </c>
      <c r="L21" s="10">
        <v>60.6</v>
      </c>
    </row>
    <row r="22" spans="1:12" x14ac:dyDescent="0.2">
      <c r="A22" s="11">
        <v>46041</v>
      </c>
      <c r="B22" s="8" t="s">
        <v>21</v>
      </c>
      <c r="C22" s="9">
        <v>27296</v>
      </c>
      <c r="D22" s="9">
        <v>31726</v>
      </c>
      <c r="E22" s="9">
        <v>11473</v>
      </c>
      <c r="F22" s="9">
        <v>37498</v>
      </c>
      <c r="G22" s="9">
        <v>24235</v>
      </c>
      <c r="H22" s="9">
        <v>0</v>
      </c>
      <c r="I22" s="9">
        <v>146.94999999999999</v>
      </c>
      <c r="J22" s="10">
        <v>0</v>
      </c>
      <c r="K22" s="10">
        <v>11415</v>
      </c>
      <c r="L22" s="10">
        <v>57.7</v>
      </c>
    </row>
    <row r="23" spans="1:12" x14ac:dyDescent="0.2">
      <c r="A23" s="11">
        <v>46042</v>
      </c>
      <c r="B23" s="8" t="s">
        <v>20</v>
      </c>
      <c r="C23" s="9">
        <v>19538</v>
      </c>
      <c r="D23" s="9">
        <v>26779</v>
      </c>
      <c r="E23" s="9">
        <v>10385</v>
      </c>
      <c r="F23" s="9">
        <v>25471</v>
      </c>
      <c r="G23" s="9">
        <v>17119</v>
      </c>
      <c r="H23" s="9">
        <v>0</v>
      </c>
      <c r="I23" s="9">
        <v>101.15</v>
      </c>
      <c r="J23" s="10">
        <v>0</v>
      </c>
      <c r="K23" s="10">
        <v>8584</v>
      </c>
      <c r="L23" s="10">
        <v>43.9</v>
      </c>
    </row>
    <row r="24" spans="1:12" x14ac:dyDescent="0.2">
      <c r="A24" s="11">
        <v>46042</v>
      </c>
      <c r="B24" s="8" t="s">
        <v>21</v>
      </c>
      <c r="C24" s="9">
        <v>25069</v>
      </c>
      <c r="D24" s="9">
        <v>29153</v>
      </c>
      <c r="E24" s="9">
        <v>10738</v>
      </c>
      <c r="F24" s="9">
        <v>34439</v>
      </c>
      <c r="G24" s="9">
        <v>22265</v>
      </c>
      <c r="H24" s="9">
        <v>0</v>
      </c>
      <c r="I24" s="9">
        <v>135.69999999999999</v>
      </c>
      <c r="J24" s="10">
        <v>0</v>
      </c>
      <c r="K24" s="10">
        <v>10966</v>
      </c>
      <c r="L24" s="10">
        <v>53</v>
      </c>
    </row>
    <row r="25" spans="1:12" x14ac:dyDescent="0.2">
      <c r="A25" s="11">
        <v>46043</v>
      </c>
      <c r="B25" s="8" t="s">
        <v>20</v>
      </c>
      <c r="C25" s="9">
        <v>23973</v>
      </c>
      <c r="D25" s="9">
        <v>32514</v>
      </c>
      <c r="E25" s="9">
        <v>12755</v>
      </c>
      <c r="F25" s="9">
        <v>31010</v>
      </c>
      <c r="G25" s="9">
        <v>20792</v>
      </c>
      <c r="H25" s="9">
        <v>0</v>
      </c>
      <c r="I25" s="9">
        <v>124.4</v>
      </c>
      <c r="J25" s="10">
        <v>0</v>
      </c>
      <c r="K25" s="10">
        <v>10649</v>
      </c>
      <c r="L25" s="10">
        <v>53.3</v>
      </c>
    </row>
    <row r="26" spans="1:12" x14ac:dyDescent="0.2">
      <c r="A26" s="11">
        <v>46043</v>
      </c>
      <c r="B26" s="8" t="s">
        <v>21</v>
      </c>
      <c r="C26" s="9">
        <v>24504</v>
      </c>
      <c r="D26" s="9">
        <v>28598</v>
      </c>
      <c r="E26" s="9">
        <v>10536</v>
      </c>
      <c r="F26" s="9">
        <v>33847</v>
      </c>
      <c r="G26" s="9">
        <v>21836</v>
      </c>
      <c r="H26" s="9">
        <v>0</v>
      </c>
      <c r="I26" s="9">
        <v>130.85000000000002</v>
      </c>
      <c r="J26" s="9">
        <v>0</v>
      </c>
      <c r="K26" s="9">
        <v>10510</v>
      </c>
      <c r="L26" s="10">
        <v>52</v>
      </c>
    </row>
    <row r="27" spans="1:12" x14ac:dyDescent="0.2">
      <c r="A27" s="11">
        <v>46044</v>
      </c>
      <c r="B27" s="8" t="s">
        <v>22</v>
      </c>
      <c r="C27" s="9">
        <v>4976</v>
      </c>
      <c r="D27" s="9">
        <v>5195</v>
      </c>
      <c r="E27" s="9">
        <v>2636</v>
      </c>
      <c r="F27" s="9">
        <v>6110</v>
      </c>
      <c r="G27" s="9">
        <v>3500</v>
      </c>
      <c r="H27" s="9">
        <v>0</v>
      </c>
      <c r="I27" s="9">
        <v>18.100000000000001</v>
      </c>
      <c r="J27" s="9">
        <v>0</v>
      </c>
      <c r="K27" s="9">
        <v>1921</v>
      </c>
      <c r="L27" s="9">
        <v>10</v>
      </c>
    </row>
    <row r="28" spans="1:12" x14ac:dyDescent="0.2">
      <c r="A28" s="11">
        <v>46044</v>
      </c>
      <c r="B28" s="8" t="s">
        <v>20</v>
      </c>
      <c r="C28" s="9">
        <v>17329</v>
      </c>
      <c r="D28" s="9">
        <v>23230</v>
      </c>
      <c r="E28" s="9">
        <v>9168</v>
      </c>
      <c r="F28" s="9">
        <v>22029</v>
      </c>
      <c r="G28" s="9">
        <v>14857</v>
      </c>
      <c r="H28" s="9">
        <v>0</v>
      </c>
      <c r="I28" s="9">
        <v>87.55</v>
      </c>
      <c r="J28" s="10">
        <v>0</v>
      </c>
      <c r="K28" s="10">
        <v>7488</v>
      </c>
      <c r="L28" s="10">
        <v>38.1</v>
      </c>
    </row>
    <row r="29" spans="1:12" x14ac:dyDescent="0.2">
      <c r="A29" s="11">
        <v>46044</v>
      </c>
      <c r="B29" s="8" t="s">
        <v>21</v>
      </c>
      <c r="C29" s="9">
        <v>24181</v>
      </c>
      <c r="D29" s="9">
        <v>28341</v>
      </c>
      <c r="E29" s="9">
        <v>10373</v>
      </c>
      <c r="F29" s="9">
        <v>33487</v>
      </c>
      <c r="G29" s="9">
        <v>21632</v>
      </c>
      <c r="H29" s="9">
        <v>0</v>
      </c>
      <c r="I29" s="9">
        <v>121.89999999999999</v>
      </c>
      <c r="J29" s="10">
        <v>0</v>
      </c>
      <c r="K29" s="10">
        <v>10569</v>
      </c>
      <c r="L29" s="10">
        <v>51.5</v>
      </c>
    </row>
    <row r="30" spans="1:12" x14ac:dyDescent="0.2">
      <c r="A30" s="11">
        <v>46045</v>
      </c>
      <c r="B30" s="8" t="s">
        <v>20</v>
      </c>
      <c r="C30" s="12">
        <v>20798</v>
      </c>
      <c r="D30" s="12">
        <v>28063</v>
      </c>
      <c r="E30" s="12">
        <v>10926</v>
      </c>
      <c r="F30" s="12">
        <v>26652</v>
      </c>
      <c r="G30" s="12">
        <v>17946</v>
      </c>
      <c r="H30" s="12">
        <v>0</v>
      </c>
      <c r="I30" s="12">
        <v>104.89999999999999</v>
      </c>
      <c r="J30" s="12">
        <v>0</v>
      </c>
      <c r="K30" s="12">
        <v>9444</v>
      </c>
      <c r="L30" s="10">
        <v>46</v>
      </c>
    </row>
    <row r="31" spans="1:12" x14ac:dyDescent="0.2">
      <c r="A31" s="11">
        <v>46045</v>
      </c>
      <c r="B31" s="8" t="s">
        <v>21</v>
      </c>
      <c r="C31" s="9">
        <v>28879</v>
      </c>
      <c r="D31" s="9">
        <v>33823</v>
      </c>
      <c r="E31" s="9">
        <v>12432</v>
      </c>
      <c r="F31" s="9">
        <v>40055</v>
      </c>
      <c r="G31" s="9">
        <v>25813</v>
      </c>
      <c r="H31" s="9">
        <v>0</v>
      </c>
      <c r="I31" s="9">
        <v>153.19999999999999</v>
      </c>
      <c r="J31" s="10">
        <v>0</v>
      </c>
      <c r="K31" s="10">
        <v>12577</v>
      </c>
      <c r="L31" s="10">
        <v>61.5</v>
      </c>
    </row>
    <row r="32" spans="1:12" x14ac:dyDescent="0.2">
      <c r="A32" s="11">
        <v>46048</v>
      </c>
      <c r="B32" s="8" t="s">
        <v>22</v>
      </c>
      <c r="C32" s="9">
        <v>6723</v>
      </c>
      <c r="D32" s="9">
        <v>7129</v>
      </c>
      <c r="E32" s="9">
        <v>3612</v>
      </c>
      <c r="F32" s="9">
        <v>8033</v>
      </c>
      <c r="G32" s="9">
        <v>4704</v>
      </c>
      <c r="H32" s="9">
        <v>0</v>
      </c>
      <c r="I32" s="9">
        <v>22.65</v>
      </c>
      <c r="J32" s="10">
        <v>0</v>
      </c>
      <c r="K32" s="10">
        <v>2652</v>
      </c>
      <c r="L32" s="10">
        <v>13.45</v>
      </c>
    </row>
    <row r="33" spans="1:12" x14ac:dyDescent="0.2">
      <c r="A33" s="11">
        <v>46048</v>
      </c>
      <c r="B33" s="8" t="s">
        <v>20</v>
      </c>
      <c r="C33" s="9">
        <v>22318</v>
      </c>
      <c r="D33" s="9">
        <v>30501</v>
      </c>
      <c r="E33" s="9">
        <v>11927</v>
      </c>
      <c r="F33" s="9">
        <v>29129</v>
      </c>
      <c r="G33" s="9">
        <v>19500</v>
      </c>
      <c r="H33" s="9">
        <v>0</v>
      </c>
      <c r="I33" s="9">
        <v>109.19999999999999</v>
      </c>
      <c r="J33" s="10">
        <v>0</v>
      </c>
      <c r="K33" s="10">
        <v>9977</v>
      </c>
      <c r="L33" s="10">
        <v>50</v>
      </c>
    </row>
    <row r="34" spans="1:12" x14ac:dyDescent="0.2">
      <c r="A34" s="11">
        <v>46048</v>
      </c>
      <c r="B34" s="8" t="s">
        <v>21</v>
      </c>
      <c r="C34" s="9">
        <v>21872</v>
      </c>
      <c r="D34" s="9">
        <v>25273</v>
      </c>
      <c r="E34" s="9">
        <v>9263</v>
      </c>
      <c r="F34" s="9">
        <v>30038</v>
      </c>
      <c r="G34" s="9">
        <v>19415</v>
      </c>
      <c r="H34" s="9">
        <v>0</v>
      </c>
      <c r="I34" s="9">
        <v>119.1</v>
      </c>
      <c r="J34" s="10">
        <v>0</v>
      </c>
      <c r="K34" s="10">
        <v>9284</v>
      </c>
      <c r="L34" s="10">
        <v>46.2</v>
      </c>
    </row>
    <row r="35" spans="1:12" x14ac:dyDescent="0.2">
      <c r="A35" s="11">
        <v>46049</v>
      </c>
      <c r="B35" s="8" t="s">
        <v>22</v>
      </c>
      <c r="C35" s="9">
        <v>4850</v>
      </c>
      <c r="D35" s="9">
        <v>5200</v>
      </c>
      <c r="E35" s="9">
        <v>2644</v>
      </c>
      <c r="F35" s="9">
        <v>6142</v>
      </c>
      <c r="G35" s="9">
        <v>3499</v>
      </c>
      <c r="H35" s="9">
        <v>0</v>
      </c>
      <c r="I35" s="9">
        <v>20.100000000000001</v>
      </c>
      <c r="J35" s="10">
        <v>0</v>
      </c>
      <c r="K35" s="10">
        <v>2040</v>
      </c>
      <c r="L35" s="10">
        <v>10</v>
      </c>
    </row>
    <row r="36" spans="1:12" x14ac:dyDescent="0.2">
      <c r="A36" s="7">
        <v>46049</v>
      </c>
      <c r="B36" s="14" t="s">
        <v>20</v>
      </c>
      <c r="C36" s="9">
        <v>26596</v>
      </c>
      <c r="D36" s="16">
        <v>35930</v>
      </c>
      <c r="E36" s="16">
        <v>14192</v>
      </c>
      <c r="F36" s="16">
        <v>34052</v>
      </c>
      <c r="G36" s="9">
        <v>22980</v>
      </c>
      <c r="H36" s="9">
        <v>0</v>
      </c>
      <c r="I36" s="9">
        <v>135.35</v>
      </c>
      <c r="J36" s="10">
        <v>0</v>
      </c>
      <c r="K36" s="10">
        <v>12066</v>
      </c>
      <c r="L36" s="10">
        <v>58.9</v>
      </c>
    </row>
    <row r="37" spans="1:12" x14ac:dyDescent="0.2">
      <c r="A37" s="7">
        <v>46049</v>
      </c>
      <c r="B37" s="14" t="s">
        <v>21</v>
      </c>
      <c r="C37" s="9">
        <v>16780</v>
      </c>
      <c r="D37" s="10">
        <v>19525</v>
      </c>
      <c r="E37" s="10">
        <v>7137</v>
      </c>
      <c r="F37" s="10">
        <v>23078</v>
      </c>
      <c r="G37" s="15">
        <v>14906</v>
      </c>
      <c r="H37" s="15">
        <v>0</v>
      </c>
      <c r="I37" s="15">
        <v>83.35</v>
      </c>
      <c r="J37" s="16">
        <v>0</v>
      </c>
      <c r="K37" s="16">
        <v>7487</v>
      </c>
      <c r="L37" s="10">
        <v>35.5</v>
      </c>
    </row>
    <row r="38" spans="1:12" x14ac:dyDescent="0.2">
      <c r="A38" s="17">
        <v>46050</v>
      </c>
      <c r="B38" s="18" t="s">
        <v>22</v>
      </c>
      <c r="C38" s="13">
        <v>3947</v>
      </c>
      <c r="D38" s="13">
        <v>4161</v>
      </c>
      <c r="E38" s="13">
        <v>2151</v>
      </c>
      <c r="F38" s="13">
        <v>4889</v>
      </c>
      <c r="G38" s="13">
        <v>2797</v>
      </c>
      <c r="H38" s="13">
        <v>0</v>
      </c>
      <c r="I38" s="13">
        <v>17.600000000000001</v>
      </c>
      <c r="J38" s="10">
        <v>0</v>
      </c>
      <c r="K38" s="13">
        <v>1645</v>
      </c>
      <c r="L38" s="10">
        <v>8</v>
      </c>
    </row>
    <row r="39" spans="1:12" x14ac:dyDescent="0.2">
      <c r="A39" s="17">
        <v>46050</v>
      </c>
      <c r="B39" s="18" t="s">
        <v>20</v>
      </c>
      <c r="C39" s="10">
        <v>18776</v>
      </c>
      <c r="D39" s="10">
        <v>25300</v>
      </c>
      <c r="E39" s="10">
        <v>9888</v>
      </c>
      <c r="F39" s="10">
        <v>23998</v>
      </c>
      <c r="G39" s="10">
        <v>16191</v>
      </c>
      <c r="H39" s="10">
        <v>0</v>
      </c>
      <c r="I39" s="10">
        <v>102.94999999999999</v>
      </c>
      <c r="J39" s="10">
        <v>0</v>
      </c>
      <c r="K39" s="10">
        <v>8534</v>
      </c>
      <c r="L39" s="10">
        <v>40.21</v>
      </c>
    </row>
    <row r="40" spans="1:12" x14ac:dyDescent="0.2">
      <c r="A40" s="17">
        <v>46050</v>
      </c>
      <c r="B40" s="18" t="s">
        <v>21</v>
      </c>
      <c r="C40" s="10">
        <v>27154</v>
      </c>
      <c r="D40" s="10">
        <v>31902</v>
      </c>
      <c r="E40" s="10">
        <v>11640</v>
      </c>
      <c r="F40" s="10">
        <v>37811</v>
      </c>
      <c r="G40" s="10">
        <v>24355</v>
      </c>
      <c r="H40" s="10">
        <v>0</v>
      </c>
      <c r="I40" s="10">
        <v>159.05000000000001</v>
      </c>
      <c r="J40" s="10">
        <v>0</v>
      </c>
      <c r="K40" s="10">
        <v>12069</v>
      </c>
      <c r="L40" s="10">
        <v>58</v>
      </c>
    </row>
    <row r="41" spans="1:12" x14ac:dyDescent="0.2">
      <c r="A41" s="17">
        <v>46051</v>
      </c>
      <c r="B41" s="18" t="s">
        <v>22</v>
      </c>
      <c r="C41" s="10">
        <v>4007</v>
      </c>
      <c r="D41" s="10">
        <v>4159</v>
      </c>
      <c r="E41" s="10">
        <v>2146</v>
      </c>
      <c r="F41" s="10">
        <v>4826</v>
      </c>
      <c r="G41" s="10">
        <v>2803</v>
      </c>
      <c r="H41" s="10">
        <v>0</v>
      </c>
      <c r="I41" s="10">
        <v>16.75</v>
      </c>
      <c r="J41" s="10">
        <v>0</v>
      </c>
      <c r="K41" s="10">
        <v>1600</v>
      </c>
      <c r="L41" s="10">
        <v>8</v>
      </c>
    </row>
    <row r="42" spans="1:12" x14ac:dyDescent="0.2">
      <c r="A42" s="17">
        <v>46051</v>
      </c>
      <c r="B42" s="18" t="s">
        <v>20</v>
      </c>
      <c r="C42" s="10">
        <v>23978</v>
      </c>
      <c r="D42" s="10">
        <v>32752</v>
      </c>
      <c r="E42" s="10">
        <v>12860</v>
      </c>
      <c r="F42" s="10">
        <v>31130</v>
      </c>
      <c r="G42" s="10">
        <v>20941</v>
      </c>
      <c r="H42" s="10">
        <v>0</v>
      </c>
      <c r="I42" s="10">
        <v>130.94999999999999</v>
      </c>
      <c r="J42" s="10">
        <v>0</v>
      </c>
      <c r="K42" s="10">
        <v>10837</v>
      </c>
      <c r="L42" s="10">
        <v>53.7</v>
      </c>
    </row>
    <row r="43" spans="1:12" x14ac:dyDescent="0.2">
      <c r="A43" s="7">
        <v>46051</v>
      </c>
      <c r="B43" s="14" t="s">
        <v>21</v>
      </c>
      <c r="C43" s="9">
        <v>19417</v>
      </c>
      <c r="D43" s="13">
        <v>22534</v>
      </c>
      <c r="E43" s="13">
        <v>8242</v>
      </c>
      <c r="F43" s="13">
        <v>26702</v>
      </c>
      <c r="G43" s="12">
        <v>17224</v>
      </c>
      <c r="H43" s="12">
        <v>0</v>
      </c>
      <c r="I43" s="12">
        <v>109.75</v>
      </c>
      <c r="J43" s="13">
        <v>0</v>
      </c>
      <c r="K43" s="13">
        <v>8431</v>
      </c>
      <c r="L43" s="10">
        <v>41</v>
      </c>
    </row>
    <row r="44" spans="1:12" x14ac:dyDescent="0.2">
      <c r="A44" s="7">
        <v>46052</v>
      </c>
      <c r="B44" s="9" t="s">
        <v>22</v>
      </c>
      <c r="C44" s="9">
        <v>4020</v>
      </c>
      <c r="D44" s="10">
        <v>4159</v>
      </c>
      <c r="E44" s="10">
        <v>2143</v>
      </c>
      <c r="F44" s="10">
        <v>4896</v>
      </c>
      <c r="G44" s="12">
        <v>2795</v>
      </c>
      <c r="H44" s="12">
        <v>0</v>
      </c>
      <c r="I44" s="12">
        <v>15.9</v>
      </c>
      <c r="J44" s="13">
        <v>0</v>
      </c>
      <c r="K44" s="13">
        <v>1628</v>
      </c>
      <c r="L44" s="10">
        <v>8</v>
      </c>
    </row>
    <row r="45" spans="1:12" x14ac:dyDescent="0.2">
      <c r="A45" s="7">
        <v>46052</v>
      </c>
      <c r="B45" s="9" t="s">
        <v>20</v>
      </c>
      <c r="C45" s="9">
        <v>15189</v>
      </c>
      <c r="D45" s="10">
        <v>20742</v>
      </c>
      <c r="E45" s="10">
        <v>8115</v>
      </c>
      <c r="F45" s="10">
        <v>19651</v>
      </c>
      <c r="G45" s="12">
        <v>13264</v>
      </c>
      <c r="H45" s="12">
        <v>0</v>
      </c>
      <c r="I45" s="12">
        <v>84.15</v>
      </c>
      <c r="J45" s="13">
        <v>0</v>
      </c>
      <c r="K45" s="13">
        <v>6714</v>
      </c>
      <c r="L45" s="10">
        <v>34</v>
      </c>
    </row>
    <row r="46" spans="1:12" x14ac:dyDescent="0.2">
      <c r="A46" s="7">
        <v>46052</v>
      </c>
      <c r="B46" s="9" t="s">
        <v>21</v>
      </c>
      <c r="C46" s="9">
        <v>28848</v>
      </c>
      <c r="D46" s="10">
        <v>33646</v>
      </c>
      <c r="E46" s="10">
        <v>12349</v>
      </c>
      <c r="F46" s="10">
        <v>39849</v>
      </c>
      <c r="G46" s="12">
        <v>25700</v>
      </c>
      <c r="H46" s="12">
        <v>0</v>
      </c>
      <c r="I46" s="12">
        <v>157.1</v>
      </c>
      <c r="J46" s="13">
        <v>0</v>
      </c>
      <c r="K46" s="13">
        <v>11839</v>
      </c>
      <c r="L46" s="10">
        <v>61.2</v>
      </c>
    </row>
    <row r="47" spans="1:12" x14ac:dyDescent="0.2">
      <c r="A47" s="7"/>
      <c r="B47" s="9"/>
      <c r="C47" s="9">
        <f>SUM(C33:C46)</f>
        <v>237752</v>
      </c>
      <c r="D47" s="9">
        <f t="shared" ref="D47:L47" si="0">SUM(D33:D46)</f>
        <v>295784</v>
      </c>
      <c r="E47" s="9">
        <f t="shared" si="0"/>
        <v>114697</v>
      </c>
      <c r="F47" s="9">
        <f t="shared" si="0"/>
        <v>316191</v>
      </c>
      <c r="G47" s="9">
        <f t="shared" si="0"/>
        <v>206370</v>
      </c>
      <c r="H47" s="9">
        <f t="shared" si="0"/>
        <v>0</v>
      </c>
      <c r="I47" s="9">
        <f t="shared" si="0"/>
        <v>1261.3</v>
      </c>
      <c r="J47" s="9">
        <f t="shared" si="0"/>
        <v>0</v>
      </c>
      <c r="K47" s="9">
        <f t="shared" si="0"/>
        <v>104151</v>
      </c>
      <c r="L47" s="9">
        <f t="shared" si="0"/>
        <v>512.71</v>
      </c>
    </row>
    <row r="48" spans="1:12" x14ac:dyDescent="0.2">
      <c r="A48" s="7"/>
      <c r="B48" s="8"/>
      <c r="C48" s="9"/>
      <c r="D48" s="13"/>
      <c r="E48" s="13"/>
      <c r="F48" s="13"/>
      <c r="G48" s="12"/>
      <c r="H48" s="12"/>
      <c r="I48" s="12"/>
      <c r="J48" s="13"/>
      <c r="K48" s="13"/>
      <c r="L48" s="10"/>
    </row>
    <row r="49" spans="1:12" x14ac:dyDescent="0.2">
      <c r="A49" s="7"/>
      <c r="B49" s="9"/>
      <c r="C49" s="9"/>
      <c r="D49" s="10"/>
      <c r="E49" s="10"/>
      <c r="F49" s="10"/>
      <c r="G49" s="12"/>
      <c r="H49" s="12"/>
      <c r="I49" s="12"/>
      <c r="J49" s="13"/>
      <c r="K49" s="13"/>
      <c r="L49" s="10"/>
    </row>
    <row r="50" spans="1:12" x14ac:dyDescent="0.2">
      <c r="A50" s="7"/>
      <c r="B50" s="9"/>
      <c r="C50" s="9"/>
      <c r="D50" s="10"/>
      <c r="E50" s="10"/>
      <c r="F50" s="10"/>
      <c r="G50" s="12"/>
      <c r="H50" s="12"/>
      <c r="I50" s="12"/>
      <c r="J50" s="13"/>
      <c r="K50" s="13"/>
      <c r="L50" s="10"/>
    </row>
    <row r="51" spans="1:12" x14ac:dyDescent="0.2">
      <c r="A51" s="7"/>
      <c r="B51" s="9"/>
      <c r="C51" s="9"/>
      <c r="D51" s="10"/>
      <c r="E51" s="10"/>
      <c r="F51" s="10"/>
      <c r="G51" s="12"/>
      <c r="H51" s="12"/>
      <c r="I51" s="12"/>
      <c r="J51" s="13"/>
      <c r="K51" s="13"/>
      <c r="L51" s="10"/>
    </row>
    <row r="52" spans="1:12" x14ac:dyDescent="0.2">
      <c r="A52" s="7"/>
      <c r="B52" s="9"/>
      <c r="C52" s="9"/>
      <c r="D52" s="10"/>
      <c r="E52" s="10"/>
      <c r="F52" s="10"/>
      <c r="G52" s="12"/>
      <c r="H52" s="12"/>
      <c r="I52" s="12"/>
      <c r="J52" s="13"/>
      <c r="K52" s="13"/>
      <c r="L52" s="10"/>
    </row>
    <row r="53" spans="1:12" x14ac:dyDescent="0.2">
      <c r="A53" s="11"/>
      <c r="B53" s="8"/>
      <c r="C53" s="9"/>
      <c r="D53" s="9"/>
      <c r="E53" s="9"/>
      <c r="F53" s="9"/>
      <c r="G53" s="15"/>
      <c r="H53" s="15"/>
      <c r="I53" s="19"/>
      <c r="J53" s="20"/>
      <c r="K53" s="16"/>
      <c r="L53" s="9"/>
    </row>
    <row r="54" spans="1:12" x14ac:dyDescent="0.2">
      <c r="A54" s="7"/>
      <c r="B54" s="9"/>
      <c r="C54" s="9"/>
      <c r="D54" s="10"/>
      <c r="E54" s="10"/>
      <c r="F54" s="10"/>
      <c r="G54" s="12"/>
      <c r="H54" s="12"/>
      <c r="I54" s="12"/>
      <c r="J54" s="13"/>
      <c r="K54" s="13"/>
      <c r="L54" s="10"/>
    </row>
    <row r="55" spans="1:12" x14ac:dyDescent="0.2">
      <c r="A55" s="7"/>
      <c r="B55" s="9"/>
      <c r="C55" s="9"/>
      <c r="D55" s="10"/>
      <c r="E55" s="10"/>
      <c r="F55" s="10"/>
      <c r="G55" s="12"/>
      <c r="H55" s="12"/>
      <c r="I55" s="12"/>
      <c r="J55" s="13"/>
      <c r="K55" s="13"/>
      <c r="L55" s="10"/>
    </row>
    <row r="56" spans="1:12" x14ac:dyDescent="0.2">
      <c r="A56" s="11"/>
      <c r="B56" s="8"/>
      <c r="C56" s="9"/>
      <c r="D56" s="9"/>
      <c r="E56" s="9"/>
      <c r="F56" s="9"/>
      <c r="G56" s="15"/>
      <c r="H56" s="15"/>
      <c r="I56" s="19"/>
      <c r="J56" s="20"/>
      <c r="K56" s="16"/>
      <c r="L56" s="9"/>
    </row>
    <row r="57" spans="1:12" x14ac:dyDescent="0.2">
      <c r="A57" s="7"/>
      <c r="B57" s="9"/>
      <c r="C57" s="9"/>
      <c r="D57" s="10"/>
      <c r="E57" s="10"/>
      <c r="F57" s="10"/>
      <c r="G57" s="12"/>
      <c r="H57" s="12"/>
      <c r="I57" s="12"/>
      <c r="J57" s="13"/>
      <c r="K57" s="13"/>
      <c r="L57" s="10"/>
    </row>
    <row r="58" spans="1:12" x14ac:dyDescent="0.2">
      <c r="A58" s="7"/>
      <c r="B58" s="9"/>
      <c r="C58" s="9"/>
      <c r="D58" s="10"/>
      <c r="E58" s="10"/>
      <c r="F58" s="10"/>
      <c r="G58" s="12"/>
      <c r="H58" s="12"/>
      <c r="I58" s="12"/>
      <c r="J58" s="13"/>
      <c r="K58" s="13"/>
      <c r="L58" s="10"/>
    </row>
    <row r="59" spans="1:12" x14ac:dyDescent="0.2">
      <c r="A59" s="11"/>
      <c r="B59" s="8"/>
      <c r="C59" s="9"/>
      <c r="D59" s="13"/>
      <c r="E59" s="13"/>
      <c r="F59" s="13"/>
      <c r="G59" s="9"/>
      <c r="H59" s="9"/>
      <c r="I59" s="9"/>
      <c r="J59" s="9"/>
      <c r="K59" s="9"/>
      <c r="L59" s="9"/>
    </row>
    <row r="60" spans="1:12" x14ac:dyDescent="0.2">
      <c r="A60" s="21"/>
      <c r="B60" s="22"/>
      <c r="C60" s="9"/>
      <c r="D60" s="10"/>
      <c r="E60" s="10"/>
      <c r="F60" s="10"/>
      <c r="G60" s="9"/>
      <c r="H60" s="9"/>
      <c r="I60" s="9"/>
      <c r="J60" s="9"/>
      <c r="K60" s="9"/>
      <c r="L60" s="9"/>
    </row>
    <row r="61" spans="1:12" x14ac:dyDescent="0.2">
      <c r="A61" s="21"/>
      <c r="B61" s="22"/>
      <c r="C61" s="9"/>
      <c r="D61" s="10"/>
      <c r="E61" s="10"/>
      <c r="F61" s="10"/>
      <c r="G61" s="13"/>
      <c r="H61" s="13"/>
      <c r="I61" s="13"/>
      <c r="J61" s="13"/>
      <c r="K61" s="13"/>
      <c r="L61" s="9"/>
    </row>
    <row r="62" spans="1:12" x14ac:dyDescent="0.2">
      <c r="A62" s="23"/>
      <c r="B62" s="22"/>
      <c r="C62" s="9"/>
      <c r="D62" s="10"/>
      <c r="E62" s="10"/>
      <c r="F62" s="10"/>
      <c r="G62" s="9"/>
      <c r="H62" s="9"/>
      <c r="I62" s="9"/>
      <c r="J62" s="9"/>
      <c r="K62" s="9"/>
      <c r="L62" s="9"/>
    </row>
    <row r="63" spans="1:12" x14ac:dyDescent="0.2">
      <c r="A63" s="21"/>
      <c r="B63" s="22"/>
      <c r="C63" s="9"/>
      <c r="D63" s="10"/>
      <c r="E63" s="10"/>
      <c r="F63" s="10"/>
      <c r="G63" s="9"/>
      <c r="H63" s="9"/>
      <c r="I63" s="9"/>
      <c r="J63" s="10"/>
      <c r="K63" s="9"/>
      <c r="L63" s="9"/>
    </row>
    <row r="64" spans="1:12" x14ac:dyDescent="0.2">
      <c r="A64" s="21"/>
      <c r="B64" s="22"/>
      <c r="C64" s="9"/>
      <c r="D64" s="10"/>
      <c r="E64" s="10"/>
      <c r="F64" s="10"/>
      <c r="G64" s="13"/>
      <c r="H64" s="13"/>
      <c r="I64" s="13"/>
      <c r="J64" s="13"/>
      <c r="K64" s="13"/>
      <c r="L64" s="9"/>
    </row>
    <row r="65" spans="1:12" x14ac:dyDescent="0.2">
      <c r="A65" s="21"/>
      <c r="B65" s="22"/>
      <c r="C65" s="9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">
      <c r="A66" s="24"/>
      <c r="B66" s="22"/>
      <c r="C66" s="9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">
      <c r="A67" s="24"/>
      <c r="B67" s="22"/>
      <c r="C67" s="9"/>
      <c r="D67" s="10"/>
      <c r="E67" s="10"/>
      <c r="F67" s="10"/>
      <c r="G67" s="9"/>
      <c r="H67" s="9"/>
      <c r="I67" s="10"/>
      <c r="J67" s="9"/>
      <c r="K67" s="9"/>
      <c r="L67" s="9"/>
    </row>
    <row r="68" spans="1:12" x14ac:dyDescent="0.2">
      <c r="A68" s="23"/>
      <c r="B68" s="22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">
      <c r="A69" s="25"/>
      <c r="B69" s="22"/>
      <c r="C69" s="9"/>
      <c r="D69" s="10"/>
      <c r="E69" s="10"/>
      <c r="F69" s="10"/>
      <c r="G69" s="9"/>
      <c r="H69" s="9"/>
      <c r="I69" s="9"/>
      <c r="J69" s="9"/>
      <c r="K69" s="9"/>
      <c r="L69" s="9"/>
    </row>
    <row r="70" spans="1:12" x14ac:dyDescent="0.2">
      <c r="A70" s="25"/>
      <c r="B70" s="22"/>
      <c r="C70" s="9"/>
      <c r="D70" s="10"/>
      <c r="E70" s="10"/>
      <c r="F70" s="10"/>
      <c r="G70" s="26"/>
      <c r="H70" s="26"/>
      <c r="I70" s="10"/>
      <c r="J70" s="26"/>
      <c r="K70" s="26"/>
      <c r="L70" s="9"/>
    </row>
    <row r="71" spans="1:12" x14ac:dyDescent="0.2">
      <c r="A71" s="27"/>
      <c r="B71" s="9"/>
      <c r="C71" s="9"/>
      <c r="D71" s="10"/>
      <c r="E71" s="10"/>
      <c r="F71" s="28"/>
      <c r="G71" s="10"/>
      <c r="H71" s="26"/>
      <c r="I71" s="10"/>
      <c r="J71" s="10"/>
      <c r="K71" s="10"/>
      <c r="L71" s="10"/>
    </row>
    <row r="72" spans="1:12" x14ac:dyDescent="0.2">
      <c r="A72" s="11">
        <v>46029</v>
      </c>
      <c r="B72" s="9" t="s">
        <v>20</v>
      </c>
      <c r="C72" s="9">
        <v>779</v>
      </c>
      <c r="D72" s="10">
        <v>1034</v>
      </c>
      <c r="E72" s="10">
        <v>400</v>
      </c>
      <c r="F72" s="9">
        <v>910</v>
      </c>
      <c r="G72" s="9">
        <v>620</v>
      </c>
      <c r="H72" s="26">
        <v>0</v>
      </c>
      <c r="I72" s="9">
        <v>3.73</v>
      </c>
      <c r="J72" s="9">
        <v>0</v>
      </c>
      <c r="K72" s="9">
        <v>290</v>
      </c>
      <c r="L72" s="10">
        <v>1.6</v>
      </c>
    </row>
    <row r="73" spans="1:12" x14ac:dyDescent="0.2">
      <c r="A73" s="27">
        <v>46029</v>
      </c>
      <c r="B73" s="9" t="s">
        <v>23</v>
      </c>
      <c r="C73" s="9">
        <v>8897</v>
      </c>
      <c r="D73" s="10">
        <v>10651</v>
      </c>
      <c r="E73" s="10">
        <v>4423</v>
      </c>
      <c r="F73" s="9">
        <v>6566</v>
      </c>
      <c r="G73" s="9">
        <v>7386</v>
      </c>
      <c r="H73" s="26">
        <v>0</v>
      </c>
      <c r="I73" s="9">
        <v>0</v>
      </c>
      <c r="J73" s="9">
        <v>36.08</v>
      </c>
      <c r="K73" s="9">
        <v>1872</v>
      </c>
      <c r="L73" s="9">
        <v>16.399999999999999</v>
      </c>
    </row>
    <row r="74" spans="1:12" x14ac:dyDescent="0.2">
      <c r="A74" s="27">
        <v>46030</v>
      </c>
      <c r="B74" s="29" t="s">
        <v>23</v>
      </c>
      <c r="C74" s="9">
        <v>8790</v>
      </c>
      <c r="D74" s="9">
        <v>10461</v>
      </c>
      <c r="E74" s="9">
        <v>4305</v>
      </c>
      <c r="F74" s="9">
        <v>6433</v>
      </c>
      <c r="G74" s="9">
        <v>7238</v>
      </c>
      <c r="H74" s="26">
        <v>0</v>
      </c>
      <c r="I74" s="9">
        <v>0</v>
      </c>
      <c r="J74" s="9">
        <v>35.420000000000009</v>
      </c>
      <c r="K74" s="9">
        <v>1780</v>
      </c>
      <c r="L74" s="9">
        <v>16.100000000000001</v>
      </c>
    </row>
    <row r="75" spans="1:12" x14ac:dyDescent="0.2">
      <c r="A75" s="27">
        <v>46031</v>
      </c>
      <c r="B75" s="29" t="s">
        <v>23</v>
      </c>
      <c r="C75" s="9">
        <v>10310</v>
      </c>
      <c r="D75" s="9">
        <v>12354</v>
      </c>
      <c r="E75" s="9">
        <v>5076</v>
      </c>
      <c r="F75" s="9">
        <v>7598</v>
      </c>
      <c r="G75" s="9">
        <v>8549</v>
      </c>
      <c r="H75" s="26">
        <v>0</v>
      </c>
      <c r="I75" s="10">
        <v>0</v>
      </c>
      <c r="J75" s="9">
        <v>41.800000000000004</v>
      </c>
      <c r="K75" s="9">
        <v>2272</v>
      </c>
      <c r="L75" s="9">
        <v>19</v>
      </c>
    </row>
    <row r="76" spans="1:12" x14ac:dyDescent="0.2">
      <c r="A76" s="11">
        <v>46034</v>
      </c>
      <c r="B76" s="29" t="s">
        <v>22</v>
      </c>
      <c r="C76" s="9">
        <v>4813</v>
      </c>
      <c r="D76" s="9">
        <v>4711</v>
      </c>
      <c r="E76" s="9">
        <v>2405</v>
      </c>
      <c r="F76" s="9">
        <v>5478</v>
      </c>
      <c r="G76" s="9">
        <v>3151</v>
      </c>
      <c r="H76" s="26">
        <v>0</v>
      </c>
      <c r="I76" s="10">
        <v>25.24</v>
      </c>
      <c r="J76" s="9">
        <v>0</v>
      </c>
      <c r="K76" s="9">
        <v>1612</v>
      </c>
      <c r="L76" s="9">
        <v>9</v>
      </c>
    </row>
    <row r="77" spans="1:12" x14ac:dyDescent="0.2">
      <c r="A77" s="27">
        <v>46034</v>
      </c>
      <c r="B77" s="9" t="s">
        <v>20</v>
      </c>
      <c r="C77" s="9">
        <v>33355</v>
      </c>
      <c r="D77" s="10">
        <v>41413</v>
      </c>
      <c r="E77" s="10">
        <v>16336</v>
      </c>
      <c r="F77" s="9">
        <v>39483</v>
      </c>
      <c r="G77" s="10">
        <v>26523</v>
      </c>
      <c r="H77" s="26">
        <v>0</v>
      </c>
      <c r="I77" s="10">
        <v>198.53</v>
      </c>
      <c r="J77" s="10">
        <v>0</v>
      </c>
      <c r="K77" s="10">
        <v>12836</v>
      </c>
      <c r="L77" s="10">
        <v>68</v>
      </c>
    </row>
    <row r="78" spans="1:12" x14ac:dyDescent="0.2">
      <c r="A78" s="27">
        <v>46034</v>
      </c>
      <c r="B78" s="9" t="s">
        <v>21</v>
      </c>
      <c r="C78" s="9">
        <v>19458</v>
      </c>
      <c r="D78" s="10">
        <v>21455</v>
      </c>
      <c r="E78" s="10">
        <v>7838</v>
      </c>
      <c r="F78" s="9">
        <v>25341</v>
      </c>
      <c r="G78" s="9">
        <v>16386</v>
      </c>
      <c r="H78" s="26">
        <v>0</v>
      </c>
      <c r="I78" s="9">
        <v>127.05000000000001</v>
      </c>
      <c r="J78" s="9">
        <v>0</v>
      </c>
      <c r="K78" s="9">
        <v>7424</v>
      </c>
      <c r="L78" s="10">
        <v>39</v>
      </c>
    </row>
    <row r="79" spans="1:12" x14ac:dyDescent="0.2">
      <c r="A79" s="27">
        <v>46034</v>
      </c>
      <c r="B79" s="9" t="s">
        <v>23</v>
      </c>
      <c r="C79" s="9">
        <v>10304</v>
      </c>
      <c r="D79" s="10">
        <v>12353</v>
      </c>
      <c r="E79" s="10">
        <v>5178</v>
      </c>
      <c r="F79" s="9">
        <v>7572</v>
      </c>
      <c r="G79" s="9">
        <v>8551</v>
      </c>
      <c r="H79" s="9">
        <v>0</v>
      </c>
      <c r="I79" s="9">
        <v>0</v>
      </c>
      <c r="J79" s="9">
        <v>41.800000000000004</v>
      </c>
      <c r="K79" s="9">
        <v>2296</v>
      </c>
      <c r="L79" s="9">
        <v>19</v>
      </c>
    </row>
    <row r="80" spans="1:12" x14ac:dyDescent="0.2">
      <c r="A80" s="27">
        <v>46035</v>
      </c>
      <c r="B80" s="29" t="s">
        <v>22</v>
      </c>
      <c r="C80" s="9">
        <v>4508</v>
      </c>
      <c r="D80" s="9">
        <v>4620</v>
      </c>
      <c r="E80" s="9">
        <v>2398</v>
      </c>
      <c r="F80" s="9">
        <v>5487</v>
      </c>
      <c r="G80" s="9">
        <v>3142</v>
      </c>
      <c r="H80" s="9">
        <v>0</v>
      </c>
      <c r="I80" s="10">
        <v>28.73</v>
      </c>
      <c r="J80" s="9">
        <v>0</v>
      </c>
      <c r="K80" s="9">
        <v>1652</v>
      </c>
      <c r="L80" s="9">
        <v>9</v>
      </c>
    </row>
    <row r="81" spans="1:12" x14ac:dyDescent="0.2">
      <c r="A81" s="27">
        <v>46035</v>
      </c>
      <c r="B81" s="29" t="s">
        <v>20</v>
      </c>
      <c r="C81" s="9">
        <v>28043</v>
      </c>
      <c r="D81" s="9">
        <v>36127</v>
      </c>
      <c r="E81" s="9">
        <v>14095</v>
      </c>
      <c r="F81" s="9">
        <v>34192</v>
      </c>
      <c r="G81" s="9">
        <v>23002</v>
      </c>
      <c r="H81" s="9">
        <v>0</v>
      </c>
      <c r="I81" s="10">
        <v>192.65</v>
      </c>
      <c r="J81" s="9">
        <v>0</v>
      </c>
      <c r="K81" s="9">
        <v>10386</v>
      </c>
      <c r="L81" s="9">
        <v>59</v>
      </c>
    </row>
    <row r="82" spans="1:12" x14ac:dyDescent="0.2">
      <c r="A82" s="11">
        <v>46035</v>
      </c>
      <c r="B82" s="29" t="s">
        <v>21</v>
      </c>
      <c r="C82" s="9">
        <v>26864</v>
      </c>
      <c r="D82" s="9">
        <v>30165</v>
      </c>
      <c r="E82" s="9">
        <v>11084</v>
      </c>
      <c r="F82" s="9">
        <v>35772</v>
      </c>
      <c r="G82" s="9">
        <v>23097</v>
      </c>
      <c r="H82" s="9">
        <v>0</v>
      </c>
      <c r="I82" s="9">
        <v>185.07000000000002</v>
      </c>
      <c r="J82" s="9">
        <v>0</v>
      </c>
      <c r="K82" s="9">
        <v>8709</v>
      </c>
      <c r="L82" s="9">
        <v>55</v>
      </c>
    </row>
    <row r="83" spans="1:12" x14ac:dyDescent="0.2">
      <c r="A83" s="27">
        <v>46035</v>
      </c>
      <c r="B83" s="29" t="s">
        <v>23</v>
      </c>
      <c r="C83" s="9">
        <v>10014</v>
      </c>
      <c r="D83" s="9">
        <v>12007</v>
      </c>
      <c r="E83" s="9">
        <v>4951</v>
      </c>
      <c r="F83" s="9">
        <v>7410</v>
      </c>
      <c r="G83" s="9">
        <v>8323</v>
      </c>
      <c r="H83" s="9">
        <v>0</v>
      </c>
      <c r="I83" s="10">
        <v>0</v>
      </c>
      <c r="J83" s="9">
        <v>40.700000000000003</v>
      </c>
      <c r="K83" s="9">
        <v>2208</v>
      </c>
      <c r="L83" s="9">
        <v>18.5</v>
      </c>
    </row>
    <row r="84" spans="1:12" x14ac:dyDescent="0.2">
      <c r="A84" s="27">
        <v>46036</v>
      </c>
      <c r="B84" s="29" t="s">
        <v>23</v>
      </c>
      <c r="C84" s="9">
        <v>10332</v>
      </c>
      <c r="D84" s="9">
        <v>12233</v>
      </c>
      <c r="E84" s="9">
        <v>5035</v>
      </c>
      <c r="F84" s="9">
        <v>7593</v>
      </c>
      <c r="G84" s="9">
        <v>8552</v>
      </c>
      <c r="H84" s="9">
        <v>0</v>
      </c>
      <c r="I84" s="10">
        <v>0</v>
      </c>
      <c r="J84" s="9">
        <v>41.800000000000004</v>
      </c>
      <c r="K84" s="9">
        <v>1827</v>
      </c>
      <c r="L84" s="9">
        <v>19</v>
      </c>
    </row>
    <row r="85" spans="1:12" x14ac:dyDescent="0.2">
      <c r="A85" s="11">
        <v>46037</v>
      </c>
      <c r="B85" s="29" t="s">
        <v>23</v>
      </c>
      <c r="C85" s="9">
        <v>10084</v>
      </c>
      <c r="D85" s="9">
        <v>12166</v>
      </c>
      <c r="E85" s="9">
        <v>5074</v>
      </c>
      <c r="F85" s="9">
        <v>7432</v>
      </c>
      <c r="G85" s="9">
        <v>8375</v>
      </c>
      <c r="H85" s="9">
        <v>0</v>
      </c>
      <c r="I85" s="9">
        <v>0</v>
      </c>
      <c r="J85" s="9">
        <v>41.35</v>
      </c>
      <c r="K85" s="9">
        <v>1840</v>
      </c>
      <c r="L85" s="9">
        <v>18.600000000000001</v>
      </c>
    </row>
    <row r="86" spans="1:12" x14ac:dyDescent="0.2">
      <c r="A86" s="27">
        <v>46038</v>
      </c>
      <c r="B86" s="29" t="s">
        <v>20</v>
      </c>
      <c r="C86" s="9">
        <v>27811</v>
      </c>
      <c r="D86" s="9">
        <v>34240</v>
      </c>
      <c r="E86" s="9">
        <v>13328</v>
      </c>
      <c r="F86" s="9">
        <v>32609</v>
      </c>
      <c r="G86" s="9">
        <v>21933</v>
      </c>
      <c r="H86" s="9">
        <v>0</v>
      </c>
      <c r="I86" s="9">
        <v>168.47</v>
      </c>
      <c r="J86" s="9">
        <v>0</v>
      </c>
      <c r="K86" s="9">
        <v>9405</v>
      </c>
      <c r="L86" s="9">
        <v>56.2</v>
      </c>
    </row>
    <row r="87" spans="1:12" x14ac:dyDescent="0.2">
      <c r="A87" s="27">
        <v>46038</v>
      </c>
      <c r="B87" s="29" t="s">
        <v>21</v>
      </c>
      <c r="C87" s="9">
        <v>17232</v>
      </c>
      <c r="D87" s="9">
        <v>18727</v>
      </c>
      <c r="E87" s="9">
        <v>6947</v>
      </c>
      <c r="F87" s="9">
        <v>22114</v>
      </c>
      <c r="G87" s="9">
        <v>14264</v>
      </c>
      <c r="H87" s="9">
        <v>0</v>
      </c>
      <c r="I87" s="10">
        <v>109.08</v>
      </c>
      <c r="J87" s="9">
        <v>0</v>
      </c>
      <c r="K87" s="9">
        <v>5511</v>
      </c>
      <c r="L87" s="9">
        <v>34</v>
      </c>
    </row>
    <row r="88" spans="1:12" x14ac:dyDescent="0.2">
      <c r="A88" s="27">
        <v>46038</v>
      </c>
      <c r="B88" s="29" t="s">
        <v>23</v>
      </c>
      <c r="C88" s="9">
        <v>10020</v>
      </c>
      <c r="D88" s="9">
        <v>12048</v>
      </c>
      <c r="E88" s="9">
        <v>4949</v>
      </c>
      <c r="F88" s="9">
        <v>7414</v>
      </c>
      <c r="G88" s="9">
        <v>8325</v>
      </c>
      <c r="H88" s="9">
        <v>0</v>
      </c>
      <c r="I88" s="10">
        <v>0</v>
      </c>
      <c r="J88" s="9">
        <v>40.560000000000009</v>
      </c>
      <c r="K88" s="9">
        <v>1813</v>
      </c>
      <c r="L88" s="9">
        <v>18.5</v>
      </c>
    </row>
    <row r="89" spans="1:12" x14ac:dyDescent="0.2">
      <c r="A89" s="27">
        <v>46041</v>
      </c>
      <c r="B89" s="29" t="s">
        <v>23</v>
      </c>
      <c r="C89" s="9">
        <v>11100</v>
      </c>
      <c r="D89" s="9">
        <v>13338</v>
      </c>
      <c r="E89" s="9">
        <v>5515</v>
      </c>
      <c r="F89" s="9">
        <v>8182</v>
      </c>
      <c r="G89" s="9">
        <v>9228</v>
      </c>
      <c r="H89" s="9">
        <v>0</v>
      </c>
      <c r="I89" s="9">
        <v>0</v>
      </c>
      <c r="J89" s="9">
        <v>26.61</v>
      </c>
      <c r="K89" s="9">
        <v>2003</v>
      </c>
      <c r="L89" s="9">
        <v>20.5</v>
      </c>
    </row>
    <row r="90" spans="1:12" x14ac:dyDescent="0.2">
      <c r="A90" s="27">
        <v>46042</v>
      </c>
      <c r="B90" s="29" t="s">
        <v>23</v>
      </c>
      <c r="C90" s="9">
        <v>11137</v>
      </c>
      <c r="D90" s="9">
        <v>13373</v>
      </c>
      <c r="E90" s="9">
        <v>5568</v>
      </c>
      <c r="F90" s="9">
        <v>8244</v>
      </c>
      <c r="G90" s="9">
        <v>9269</v>
      </c>
      <c r="H90" s="9">
        <v>0</v>
      </c>
      <c r="I90" s="10">
        <v>0</v>
      </c>
      <c r="J90" s="9">
        <v>45.640150053590546</v>
      </c>
      <c r="K90" s="9">
        <v>2128</v>
      </c>
      <c r="L90" s="9">
        <v>20.6</v>
      </c>
    </row>
    <row r="91" spans="1:12" x14ac:dyDescent="0.2">
      <c r="A91" s="27">
        <v>46043</v>
      </c>
      <c r="B91" s="29" t="s">
        <v>23</v>
      </c>
      <c r="C91" s="9">
        <v>11416</v>
      </c>
      <c r="D91" s="9">
        <v>13711</v>
      </c>
      <c r="E91" s="9">
        <v>5685</v>
      </c>
      <c r="F91" s="9">
        <v>8390</v>
      </c>
      <c r="G91" s="9">
        <v>9449</v>
      </c>
      <c r="H91" s="9">
        <v>0</v>
      </c>
      <c r="I91" s="9">
        <v>0</v>
      </c>
      <c r="J91" s="9">
        <v>46.526366559485503</v>
      </c>
      <c r="K91" s="9">
        <v>2260</v>
      </c>
      <c r="L91" s="9">
        <v>21</v>
      </c>
    </row>
    <row r="92" spans="1:12" x14ac:dyDescent="0.2">
      <c r="A92" s="27">
        <v>46044</v>
      </c>
      <c r="B92" s="29" t="s">
        <v>23</v>
      </c>
      <c r="C92" s="9">
        <v>11126</v>
      </c>
      <c r="D92" s="9">
        <v>13298</v>
      </c>
      <c r="E92" s="9">
        <v>5518</v>
      </c>
      <c r="F92" s="9">
        <v>8204</v>
      </c>
      <c r="G92" s="9">
        <v>9227</v>
      </c>
      <c r="H92" s="9">
        <v>0</v>
      </c>
      <c r="I92" s="9">
        <v>0</v>
      </c>
      <c r="J92" s="9">
        <v>45.418595927116797</v>
      </c>
      <c r="K92" s="9">
        <v>2213</v>
      </c>
      <c r="L92" s="9">
        <v>20.5</v>
      </c>
    </row>
    <row r="93" spans="1:12" x14ac:dyDescent="0.2">
      <c r="A93" s="27">
        <v>46045</v>
      </c>
      <c r="B93" s="29" t="s">
        <v>23</v>
      </c>
      <c r="C93" s="9">
        <v>11174</v>
      </c>
      <c r="D93" s="9">
        <v>13348</v>
      </c>
      <c r="E93" s="9">
        <v>5527</v>
      </c>
      <c r="F93" s="9">
        <v>8233</v>
      </c>
      <c r="G93" s="9">
        <v>9271</v>
      </c>
      <c r="H93" s="9">
        <v>0</v>
      </c>
      <c r="I93" s="9">
        <v>0</v>
      </c>
      <c r="J93" s="9">
        <v>45.640150053590546</v>
      </c>
      <c r="K93" s="9">
        <v>2320</v>
      </c>
      <c r="L93" s="9">
        <v>20.6</v>
      </c>
    </row>
    <row r="94" spans="1:12" x14ac:dyDescent="0.2">
      <c r="A94" s="11">
        <v>46049</v>
      </c>
      <c r="B94" s="29" t="s">
        <v>23</v>
      </c>
      <c r="C94" s="9">
        <v>11407</v>
      </c>
      <c r="D94" s="9">
        <v>13777</v>
      </c>
      <c r="E94" s="9">
        <v>5671</v>
      </c>
      <c r="F94" s="9">
        <v>8350</v>
      </c>
      <c r="G94" s="9">
        <v>9441</v>
      </c>
      <c r="H94" s="9">
        <v>0</v>
      </c>
      <c r="I94" s="9">
        <v>0</v>
      </c>
      <c r="J94" s="9">
        <v>38.200000000000003</v>
      </c>
      <c r="K94" s="9">
        <v>2274</v>
      </c>
      <c r="L94" s="9">
        <v>21</v>
      </c>
    </row>
    <row r="95" spans="1:12" x14ac:dyDescent="0.2">
      <c r="A95" s="27">
        <v>46050</v>
      </c>
      <c r="B95" s="29" t="s">
        <v>23</v>
      </c>
      <c r="C95" s="9">
        <v>10322</v>
      </c>
      <c r="D95" s="9">
        <v>15311</v>
      </c>
      <c r="E95" s="9">
        <v>5545</v>
      </c>
      <c r="F95" s="9">
        <v>7382</v>
      </c>
      <c r="G95" s="9">
        <v>9236</v>
      </c>
      <c r="H95" s="9">
        <v>0</v>
      </c>
      <c r="I95" s="9">
        <v>0</v>
      </c>
      <c r="J95" s="9">
        <v>39.479999999999997</v>
      </c>
      <c r="K95" s="9">
        <v>2284</v>
      </c>
      <c r="L95" s="9">
        <v>20.5</v>
      </c>
    </row>
    <row r="96" spans="1:12" x14ac:dyDescent="0.2">
      <c r="A96" s="27">
        <v>46051</v>
      </c>
      <c r="B96" s="29" t="s">
        <v>23</v>
      </c>
      <c r="C96" s="9">
        <v>9013</v>
      </c>
      <c r="D96" s="9">
        <v>13537</v>
      </c>
      <c r="E96" s="9">
        <v>4803</v>
      </c>
      <c r="F96" s="9">
        <v>6492</v>
      </c>
      <c r="G96" s="9">
        <v>8098</v>
      </c>
      <c r="H96" s="9">
        <v>0</v>
      </c>
      <c r="I96" s="9">
        <v>0</v>
      </c>
      <c r="J96" s="9">
        <v>32.32</v>
      </c>
      <c r="K96" s="9">
        <v>2080</v>
      </c>
      <c r="L96" s="9">
        <v>18</v>
      </c>
    </row>
    <row r="97" spans="1:12" x14ac:dyDescent="0.2">
      <c r="A97" s="27">
        <v>46052</v>
      </c>
      <c r="B97" s="29" t="s">
        <v>23</v>
      </c>
      <c r="C97" s="9">
        <v>9040</v>
      </c>
      <c r="D97" s="9">
        <v>13490</v>
      </c>
      <c r="E97" s="9">
        <v>4871</v>
      </c>
      <c r="F97" s="9">
        <v>6466</v>
      </c>
      <c r="G97" s="9">
        <v>8096</v>
      </c>
      <c r="H97" s="9">
        <v>0</v>
      </c>
      <c r="I97" s="9">
        <v>0</v>
      </c>
      <c r="J97" s="9">
        <v>33.94</v>
      </c>
      <c r="K97" s="9">
        <v>2061</v>
      </c>
      <c r="L97" s="9">
        <v>18</v>
      </c>
    </row>
    <row r="98" spans="1:12" x14ac:dyDescent="0.2">
      <c r="A98" s="27"/>
      <c r="B98" s="29"/>
      <c r="C98" s="9">
        <f>SUM(C72:C97)</f>
        <v>337349</v>
      </c>
      <c r="D98" s="9">
        <f t="shared" ref="D98:L98" si="1">SUM(D72:D97)</f>
        <v>409948</v>
      </c>
      <c r="E98" s="9">
        <f t="shared" si="1"/>
        <v>162525</v>
      </c>
      <c r="F98" s="9">
        <f t="shared" si="1"/>
        <v>329347</v>
      </c>
      <c r="G98" s="9">
        <f t="shared" si="1"/>
        <v>278732</v>
      </c>
      <c r="H98" s="9">
        <f t="shared" si="1"/>
        <v>0</v>
      </c>
      <c r="I98" s="9">
        <f t="shared" si="1"/>
        <v>1038.5500000000002</v>
      </c>
      <c r="J98" s="9">
        <f t="shared" si="1"/>
        <v>673.2852625937835</v>
      </c>
      <c r="K98" s="9">
        <f t="shared" si="1"/>
        <v>93356</v>
      </c>
      <c r="L98" s="9">
        <f t="shared" si="1"/>
        <v>656.6</v>
      </c>
    </row>
    <row r="99" spans="1:12" x14ac:dyDescent="0.2">
      <c r="A99" s="27"/>
      <c r="B99" s="29"/>
      <c r="C99" s="9"/>
      <c r="D99" s="9"/>
      <c r="E99" s="9"/>
      <c r="F99" s="9"/>
      <c r="G99" s="9"/>
      <c r="H99" s="9"/>
      <c r="I99" s="10"/>
      <c r="J99" s="9"/>
      <c r="K99" s="9"/>
      <c r="L99" s="9"/>
    </row>
    <row r="100" spans="1:12" x14ac:dyDescent="0.2">
      <c r="A100" s="30" t="s">
        <v>24</v>
      </c>
      <c r="B100" s="31"/>
      <c r="C100" s="32">
        <f t="shared" ref="C100:K100" si="2">SUM(C3:C99)</f>
        <v>1697254.4873096447</v>
      </c>
      <c r="D100" s="32">
        <f t="shared" si="2"/>
        <v>2096761.7715736041</v>
      </c>
      <c r="E100" s="32">
        <f t="shared" si="2"/>
        <v>819275.93352165329</v>
      </c>
      <c r="F100" s="32">
        <f t="shared" si="2"/>
        <v>2017916.0558375635</v>
      </c>
      <c r="G100" s="32">
        <f>SUM(G3:G99)</f>
        <v>1445844.6395939086</v>
      </c>
      <c r="H100" s="32">
        <f t="shared" si="2"/>
        <v>0</v>
      </c>
      <c r="I100" s="32">
        <f t="shared" si="2"/>
        <v>7585.5172588832465</v>
      </c>
      <c r="J100" s="32" t="e">
        <f t="shared" si="2"/>
        <v>#REF!</v>
      </c>
      <c r="K100" s="32">
        <f t="shared" si="2"/>
        <v>625546.73604060919</v>
      </c>
      <c r="L100" s="32">
        <f>SUM(L3:L99)</f>
        <v>3522.5699999999997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Nermin Karic</dc:creator>
  <cp:lastModifiedBy>Nermin Karic</cp:lastModifiedBy>
  <dcterms:created xsi:type="dcterms:W3CDTF">2026-02-12T16:40:09Z</dcterms:created>
  <dcterms:modified xsi:type="dcterms:W3CDTF">2026-02-12T16:40:20Z</dcterms:modified>
</cp:coreProperties>
</file>